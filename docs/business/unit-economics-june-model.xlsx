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Reve11" sheetId="2" r:id="rId2"/>
    <sheet name="Calculator" sheetId="3" r:id="rId3"/>
    <sheet name="Packages" sheetId="4" r:id="rId4"/>
    <sheet name="B2B2CPro" sheetId="5" r:id="rId5"/>
    <sheet name="MonthlyAverage" sheetId="6" r:id="rId6"/>
    <sheet name="DataToCollect" sheetId="7" r:id="rId7"/>
    <sheet name="AdminPanel" sheetId="8" r:id="rId8"/>
    <sheet name="RefundFlow" sheetId="9" r:id="rId9"/>
  </sheets>
  <calcPr calcId="191029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6" customWidth="1"/>
    <col min="2" max="2" width="34" customWidth="1"/>
    <col min="3" max="3" width="12" customWidth="1"/>
    <col min="4" max="4" width="37" customWidth="1"/>
    <col min="5" max="5" width="44" customWidth="1"/>
  </cols>
  <sheetData>
    <row r="1">
      <c r="A1" s="1" t="inlineStr">
        <is>
          <t>Переменная</t>
        </is>
      </c>
      <c r="B1" s="1" t="inlineStr">
        <is>
          <t>Значение</t>
        </is>
      </c>
      <c r="C1" s="1" t="inlineStr">
        <is>
          <t>Единица</t>
        </is>
      </c>
      <c r="D1" s="1" t="inlineStr">
        <is>
          <t>Источник/как получить</t>
        </is>
      </c>
      <c r="E1" s="1" t="inlineStr">
        <is>
          <t>Комментарий</t>
        </is>
      </c>
    </row>
    <row r="2">
      <c r="A2" t="inlineStr">
        <is>
          <t>usd_rub</t>
        </is>
      </c>
      <c r="B2"/>
      <c r="C2" t="inlineStr">
        <is>
          <t>RUB/USD</t>
        </is>
      </c>
      <c r="D2" t="inlineStr">
        <is>
          <t>Курс для planning</t>
        </is>
      </c>
      <c r="E2" t="inlineStr">
        <is>
          <t>Заполняется вручную</t>
        </is>
      </c>
    </row>
    <row r="3">
      <c r="A3" t="inlineStr">
        <is>
          <t>reve_purchase_usd</t>
        </is>
      </c>
      <c r="B3" s="2">
        <v>10</v>
      </c>
      <c r="C3" t="inlineStr">
        <is>
          <t>USD</t>
        </is>
      </c>
      <c r="D3" t="inlineStr">
        <is>
          <t>Reve console</t>
        </is>
      </c>
      <c r="E3" t="inlineStr">
        <is>
          <t>Минимальная покупка credits</t>
        </is>
      </c>
    </row>
    <row r="4">
      <c r="A4" t="inlineStr">
        <is>
          <t>reve_purchase_credits</t>
        </is>
      </c>
      <c r="B4" s="2">
        <v>7500</v>
      </c>
      <c r="C4" t="inlineStr">
        <is>
          <t>credits</t>
        </is>
      </c>
      <c r="D4" t="inlineStr">
        <is>
          <t>Reve console</t>
        </is>
      </c>
      <c r="E4" t="inlineStr">
        <is>
          <t>Credits за $10</t>
        </is>
      </c>
    </row>
    <row r="5">
      <c r="A5" t="inlineStr">
        <is>
          <t>reve_credit_usd</t>
        </is>
      </c>
      <c r="B5" s="2">
        <f>B3/B4</f>
      </c>
      <c r="C5" t="inlineStr">
        <is>
          <t>USD/credit</t>
        </is>
      </c>
      <c r="D5" t="inlineStr">
        <is>
          <t>Formula</t>
        </is>
      </c>
      <c r="E5" t="inlineStr">
        <is>
          <t>Цена одного Reve credit</t>
        </is>
      </c>
    </row>
    <row r="6">
      <c r="A6" t="inlineStr">
        <is>
          <t>b2c_fast_share</t>
        </is>
      </c>
      <c r="B6" s="2">
        <v>0.7</v>
      </c>
      <c r="C6" t="inlineStr">
        <is>
          <t>%</t>
        </is>
      </c>
      <c r="D6" t="inlineStr">
        <is>
          <t>Planning hypothesis</t>
        </is>
      </c>
      <c r="E6" t="inlineStr">
        <is>
          <t>Доля Remix Fast в B2C</t>
        </is>
      </c>
    </row>
    <row r="7">
      <c r="A7" t="inlineStr">
        <is>
          <t>b2c_standard_share</t>
        </is>
      </c>
      <c r="B7" s="2">
        <v>0.3</v>
      </c>
      <c r="C7" t="inlineStr">
        <is>
          <t>%</t>
        </is>
      </c>
      <c r="D7" t="inlineStr">
        <is>
          <t>Planning hypothesis</t>
        </is>
      </c>
      <c r="E7" t="inlineStr">
        <is>
          <t>Доля Remix в B2C</t>
        </is>
      </c>
    </row>
    <row r="8">
      <c r="A8" t="inlineStr">
        <is>
          <t>b2c_fallback_share</t>
        </is>
      </c>
      <c r="B8" s="2">
        <v>0</v>
      </c>
      <c r="C8" t="inlineStr">
        <is>
          <t>%</t>
        </is>
      </c>
      <c r="D8" t="inlineStr">
        <is>
          <t>Planning hypothesis</t>
        </is>
      </c>
      <c r="E8" t="inlineStr">
        <is>
          <t>Доля premium fallback</t>
        </is>
      </c>
    </row>
    <row r="9">
      <c r="A9" t="inlineStr">
        <is>
          <t>fallback_attempt_usd</t>
        </is>
      </c>
      <c r="B9"/>
      <c r="C9" t="inlineStr">
        <is>
          <t>USD</t>
        </is>
      </c>
      <c r="D9" t="inlineStr">
        <is>
          <t>Provider docs/billing</t>
        </is>
      </c>
      <c r="E9" t="inlineStr">
        <is>
          <t>OpenAI или другой fallback</t>
        </is>
      </c>
    </row>
    <row r="10">
      <c r="A10" t="inlineStr">
        <is>
          <t>api_cost_attempt_avg_usd</t>
        </is>
      </c>
      <c r="B10" s="2">
        <f>B6*Reve11!D3+B7*Reve11!D4+B8*B9</f>
      </c>
      <c r="C10" t="inlineStr">
        <is>
          <t>USD</t>
        </is>
      </c>
      <c r="D10" t="inlineStr">
        <is>
          <t>Formula</t>
        </is>
      </c>
      <c r="E10" t="inlineStr">
        <is>
          <t>Средняя цена B2C попытки</t>
        </is>
      </c>
    </row>
    <row r="11">
      <c r="A11" t="inlineStr">
        <is>
          <t>api_cost_attempt_avg_rub</t>
        </is>
      </c>
      <c r="B11" s="2">
        <f>B10*B2</f>
      </c>
      <c r="C11" t="inlineStr">
        <is>
          <t>RUB</t>
        </is>
      </c>
      <c r="D11" t="inlineStr">
        <is>
          <t>Formula</t>
        </is>
      </c>
      <c r="E11" t="inlineStr">
        <is>
          <t>Средняя цена B2C попытки</t>
        </is>
      </c>
    </row>
    <row r="12">
      <c r="A12" t="inlineStr">
        <is>
          <t>attempts_per_success</t>
        </is>
      </c>
      <c r="B12"/>
      <c r="C12" t="inlineStr">
        <is>
          <t>x</t>
        </is>
      </c>
      <c r="D12" t="inlineStr">
        <is>
          <t>30-50 test pairs / production usage</t>
        </is>
      </c>
      <c r="E12" t="inlineStr">
        <is>
          <t>Среднее число попыток на successful render</t>
        </is>
      </c>
    </row>
    <row r="13">
      <c r="A13" t="inlineStr">
        <is>
          <t>technical_failure_rate</t>
        </is>
      </c>
      <c r="B13"/>
      <c r="C13" t="inlineStr">
        <is>
          <t>%</t>
        </is>
      </c>
      <c r="D13" t="inlineStr">
        <is>
          <t>failed / total_jobs</t>
        </is>
      </c>
      <c r="E13" t="inlineStr">
        <is>
          <t>Технические jobs без результата</t>
        </is>
      </c>
    </row>
    <row r="14">
      <c r="A14" t="inlineStr">
        <is>
          <t>payment_fee_rate</t>
        </is>
      </c>
      <c r="B14"/>
      <c r="C14" t="inlineStr">
        <is>
          <t>%</t>
        </is>
      </c>
      <c r="D14" t="inlineStr">
        <is>
          <t>Robokassa contract/dashboard</t>
        </is>
      </c>
      <c r="E14" t="inlineStr">
        <is>
          <t>Процент комиссии</t>
        </is>
      </c>
    </row>
    <row r="15">
      <c r="A15" t="inlineStr">
        <is>
          <t>payment_fee_fixed</t>
        </is>
      </c>
      <c r="B15"/>
      <c r="C15" t="inlineStr">
        <is>
          <t>RUB</t>
        </is>
      </c>
      <c r="D15" t="inlineStr">
        <is>
          <t>Robokassa contract/dashboard</t>
        </is>
      </c>
      <c r="E15" t="inlineStr">
        <is>
          <t>Фиксированная комиссия</t>
        </is>
      </c>
    </row>
    <row r="16">
      <c r="A16" t="inlineStr">
        <is>
          <t>infra_monthly</t>
        </is>
      </c>
      <c r="B16"/>
      <c r="C16" t="inlineStr">
        <is>
          <t>RUB/month</t>
        </is>
      </c>
      <c r="D16" t="inlineStr">
        <is>
          <t>Render/Supabase/Redis/Storage</t>
        </is>
      </c>
      <c r="E16" t="inlineStr">
        <is>
          <t>Месячная инфраструктура</t>
        </is>
      </c>
    </row>
    <row r="17">
      <c r="A17" t="inlineStr">
        <is>
          <t>paid_renders_month</t>
        </is>
      </c>
      <c r="B17"/>
      <c r="C17" t="inlineStr">
        <is>
          <t>renders</t>
        </is>
      </c>
      <c r="D17" t="inlineStr">
        <is>
          <t>Sales plan / actual usage</t>
        </is>
      </c>
      <c r="E17" t="inlineStr">
        <is>
          <t>Платные successful renders</t>
        </is>
      </c>
    </row>
    <row r="18">
      <c r="A18" t="inlineStr">
        <is>
          <t>support_buffer_render</t>
        </is>
      </c>
      <c r="B18"/>
      <c r="C18" t="inlineStr">
        <is>
          <t>RUB</t>
        </is>
      </c>
      <c r="D18" t="inlineStr">
        <is>
          <t>Support estimate</t>
        </is>
      </c>
      <c r="E18" t="inlineStr">
        <is>
          <t>Буфер на поддержку/споры</t>
        </is>
      </c>
    </row>
    <row r="19">
      <c r="A19" t="inlineStr">
        <is>
          <t>free_trial_renders</t>
        </is>
      </c>
      <c r="B19"/>
      <c r="C19" t="inlineStr">
        <is>
          <t>renders</t>
        </is>
      </c>
      <c r="D19" t="inlineStr">
        <is>
          <t>Free trial cap</t>
        </is>
      </c>
      <c r="E19" t="inlineStr">
        <is>
          <t>Лимит бесплатных renders</t>
        </is>
      </c>
    </row>
    <row r="20">
      <c r="A20" t="inlineStr">
        <is>
          <t>refund_rate</t>
        </is>
      </c>
      <c r="B20"/>
      <c r="C20" t="inlineStr">
        <is>
          <t>%</t>
        </is>
      </c>
      <c r="D20" t="inlineStr">
        <is>
          <t>Payment/refund events</t>
        </is>
      </c>
      <c r="E20" t="inlineStr">
        <is>
          <t>Доля оплат с возвратом</t>
        </is>
      </c>
    </row>
    <row r="21">
      <c r="A21" t="inlineStr">
        <is>
          <t>target_margin_founder</t>
        </is>
      </c>
      <c r="B21"/>
      <c r="C21" t="inlineStr">
        <is>
          <t>RUB</t>
        </is>
      </c>
      <c r="D21" t="inlineStr">
        <is>
          <t>Business decision</t>
        </is>
      </c>
      <c r="E21" t="inlineStr">
        <is>
          <t>Желаемая маржа с Founder Pass</t>
        </is>
      </c>
    </row>
    <row r="22">
      <c r="A22" t="inlineStr">
        <is>
          <t>internal_credit_cost_rub</t>
        </is>
      </c>
      <c r="B22"/>
      <c r="C22" t="inlineStr">
        <is>
          <t>RUB</t>
        </is>
      </c>
      <c r="D22" t="inlineStr">
        <is>
          <t>Business decision</t>
        </is>
      </c>
      <c r="E22" t="inlineStr">
        <is>
          <t>Для B2B2C dynamic credit spend</t>
        </is>
      </c>
    </row>
  </sheetData>
  <autoFilter ref="A1:E2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5" customWidth="1"/>
    <col min="4" max="4" width="15" customWidth="1"/>
    <col min="5" max="5" width="28" customWidth="1"/>
  </cols>
  <sheetData>
    <row r="1">
      <c r="A1" s="1" t="inlineStr">
        <is>
          <t>Pipeline</t>
        </is>
      </c>
      <c r="B1" s="1" t="inlineStr">
        <is>
          <t>Credits used</t>
        </is>
      </c>
      <c r="C1" s="1" t="inlineStr">
        <is>
          <t>Formula USD</t>
        </is>
      </c>
      <c r="D1" s="1" t="inlineStr">
        <is>
          <t>USD / attempt</t>
        </is>
      </c>
      <c r="E1" s="1" t="inlineStr">
        <is>
          <t>B2C role</t>
        </is>
      </c>
    </row>
    <row r="2">
      <c r="A2" t="inlineStr">
        <is>
          <t>Create</t>
        </is>
      </c>
      <c r="B2" s="2">
        <v>18</v>
      </c>
      <c r="C2" s="2">
        <f>B2*Inputs!B5</f>
      </c>
      <c r="D2" s="2">
        <f>C2</f>
      </c>
      <c r="E2" t="inlineStr">
        <is>
          <t>not primary</t>
        </is>
      </c>
    </row>
    <row r="3">
      <c r="A3" t="inlineStr">
        <is>
          <t>Remix Fast</t>
        </is>
      </c>
      <c r="B3" s="2">
        <v>5</v>
      </c>
      <c r="C3" s="2">
        <f>B3*Inputs!B5</f>
      </c>
      <c r="D3" s="2">
        <f>C3</f>
      </c>
      <c r="E3" t="inlineStr">
        <is>
          <t>cheap B2C baseline</t>
        </is>
      </c>
    </row>
    <row r="4">
      <c r="A4" t="inlineStr">
        <is>
          <t>Remix</t>
        </is>
      </c>
      <c r="B4" s="2">
        <v>30</v>
      </c>
      <c r="C4" s="2">
        <f>B4*Inputs!B5</f>
      </c>
      <c r="D4" s="2">
        <f>C4</f>
      </c>
      <c r="E4" t="inlineStr">
        <is>
          <t>quality B2C baseline</t>
        </is>
      </c>
    </row>
    <row r="5">
      <c r="A5" t="inlineStr">
        <is>
          <t>Edit Fast</t>
        </is>
      </c>
      <c r="B5" s="2">
        <v>5</v>
      </c>
      <c r="C5" s="2">
        <f>B5*Inputs!B5</f>
      </c>
      <c r="D5" s="2">
        <f>C5</f>
      </c>
      <c r="E5" t="inlineStr">
        <is>
          <t>possible mask/edit step</t>
        </is>
      </c>
    </row>
    <row r="6">
      <c r="A6" t="inlineStr">
        <is>
          <t>Edit</t>
        </is>
      </c>
      <c r="B6" s="2">
        <v>30</v>
      </c>
      <c r="C6" s="2">
        <f>B6*Inputs!B5</f>
      </c>
      <c r="D6" s="2">
        <f>C6</f>
      </c>
      <c r="E6" t="inlineStr">
        <is>
          <t>possible quality edit step</t>
        </is>
      </c>
    </row>
  </sheetData>
  <autoFilter ref="A1:E6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46" customWidth="1"/>
    <col min="3" max="3" width="45" customWidth="1"/>
  </cols>
  <sheetData>
    <row r="1">
      <c r="A1" s="1" t="inlineStr">
        <is>
          <t>Метрика</t>
        </is>
      </c>
      <c r="B1" s="1" t="inlineStr">
        <is>
          <t>Формула/значение</t>
        </is>
      </c>
      <c r="C1" s="1" t="inlineStr">
        <is>
          <t>Комментарий</t>
        </is>
      </c>
    </row>
    <row r="2">
      <c r="A2" t="inlineStr">
        <is>
          <t>api_cost_success_rub</t>
        </is>
      </c>
      <c r="B2" s="2">
        <f>Inputs!B11*Inputs!B12</f>
      </c>
      <c r="C2" t="inlineStr">
        <is>
          <t>Средняя API себестоимость successful render</t>
        </is>
      </c>
    </row>
    <row r="3">
      <c r="A3" t="inlineStr">
        <is>
          <t>infra_cost_per_render</t>
        </is>
      </c>
      <c r="B3" s="2">
        <f>Inputs!B16/MAX(Inputs!B17,1)</f>
      </c>
      <c r="C3" t="inlineStr">
        <is>
          <t>Инфраструктура на платный render</t>
        </is>
      </c>
    </row>
    <row r="4">
      <c r="A4" t="inlineStr">
        <is>
          <t>cogs_per_success</t>
        </is>
      </c>
      <c r="B4" s="2">
        <f>B2+B3+Inputs!B18</f>
      </c>
      <c r="C4" t="inlineStr">
        <is>
          <t>Полная себестоимость successful render</t>
        </is>
      </c>
    </row>
    <row r="5">
      <c r="A5" t="inlineStr">
        <is>
          <t>free_trial_budget</t>
        </is>
      </c>
      <c r="B5" s="2">
        <f>Inputs!B19*B4</f>
      </c>
      <c r="C5" t="inlineStr">
        <is>
          <t>Бюджет free trial</t>
        </is>
      </c>
    </row>
    <row r="6">
      <c r="A6" t="inlineStr">
        <is>
          <t>founder_pass_price</t>
        </is>
      </c>
      <c r="B6" s="2">
        <v>500</v>
      </c>
      <c r="C6" t="inlineStr">
        <is>
          <t>Июньская предоплата</t>
        </is>
      </c>
    </row>
    <row r="7">
      <c r="A7" t="inlineStr">
        <is>
          <t>founder_payment_fee</t>
        </is>
      </c>
      <c r="B7" s="2">
        <f>B6*Inputs!B14+Inputs!B15</f>
      </c>
      <c r="C7" t="inlineStr">
        <is>
          <t>Комиссия оплаты</t>
        </is>
      </c>
    </row>
    <row r="8">
      <c r="A8" t="inlineStr">
        <is>
          <t>max_credits_for_founder_pass</t>
        </is>
      </c>
      <c r="B8" s="2">
        <f>ROUNDDOWN((B6-B7-Inputs!B21)/MAX(B4,0.01),0)</f>
      </c>
      <c r="C8" t="inlineStr">
        <is>
          <t>Hard cap по credits</t>
        </is>
      </c>
    </row>
  </sheetData>
  <autoFilter ref="A1:C8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17" customWidth="1"/>
    <col min="3" max="3" width="12" customWidth="1"/>
    <col min="4" max="4" width="16" customWidth="1"/>
    <col min="5" max="5" width="27" customWidth="1"/>
    <col min="6" max="6" width="19" customWidth="1"/>
    <col min="7" max="7" width="21" customWidth="1"/>
    <col min="8" max="8" width="23" customWidth="1"/>
    <col min="9" max="9" width="32" customWidth="1"/>
  </cols>
  <sheetData>
    <row r="1">
      <c r="A1" s="1" t="inlineStr">
        <is>
          <t>Package</t>
        </is>
      </c>
      <c r="B1" s="1" t="inlineStr">
        <is>
          <t>Role</t>
        </is>
      </c>
      <c r="C1" s="1" t="inlineStr">
        <is>
          <t>Price RUB</t>
        </is>
      </c>
      <c r="D1" s="1" t="inlineStr">
        <is>
          <t>Credits</t>
        </is>
      </c>
      <c r="E1" s="1" t="inlineStr">
        <is>
          <t>Payment fee</t>
        </is>
      </c>
      <c r="F1" s="1" t="inlineStr">
        <is>
          <t>Package COGS</t>
        </is>
      </c>
      <c r="G1" s="1" t="inlineStr">
        <is>
          <t>Contribution margin</t>
        </is>
      </c>
      <c r="H1" s="1" t="inlineStr">
        <is>
          <t>Margin %</t>
        </is>
      </c>
      <c r="I1" s="1" t="inlineStr">
        <is>
          <t>Launch condition</t>
        </is>
      </c>
    </row>
    <row r="2">
      <c r="A2" t="inlineStr">
        <is>
          <t>Free Trial</t>
        </is>
      </c>
      <c r="B2" t="inlineStr">
        <is>
          <t>Magic moment</t>
        </is>
      </c>
      <c r="C2" s="2">
        <v>0</v>
      </c>
      <c r="D2" s="2">
        <v>1</v>
      </c>
      <c r="E2" s="2">
        <f>C2*Inputs!B14+Inputs!B15</f>
      </c>
      <c r="F2" s="2">
        <f>D2*Calculator!B4</f>
      </c>
      <c r="G2" s="2">
        <f>C2-E2-F2</f>
      </c>
      <c r="H2" s="2">
        <f>IF(C2=0,"n/a",G2/C2)</f>
      </c>
      <c r="I2" t="inlineStr">
        <is>
          <t>Only with monthly budget cap</t>
        </is>
      </c>
    </row>
    <row r="3">
      <c r="A3" t="inlineStr">
        <is>
          <t>Start</t>
        </is>
      </c>
      <c r="B3" t="inlineStr">
        <is>
          <t>First paid step</t>
        </is>
      </c>
      <c r="C3"/>
      <c r="D3"/>
      <c r="E3" s="2">
        <f>C3*Inputs!B14+Inputs!B15</f>
      </c>
      <c r="F3" s="2">
        <f>D3*Calculator!B4</f>
      </c>
      <c r="G3" s="2">
        <f>C3-E3-F3</f>
      </c>
      <c r="H3" s="2">
        <f>IF(C3=0,"",G3/C3)</f>
      </c>
      <c r="I3" t="inlineStr">
        <is>
          <t>Positive margin required</t>
        </is>
      </c>
    </row>
    <row r="4">
      <c r="A4" t="inlineStr">
        <is>
          <t>Founder Pass</t>
        </is>
      </c>
      <c r="B4" t="inlineStr">
        <is>
          <t>June preorder</t>
        </is>
      </c>
      <c r="C4" s="2">
        <v>500</v>
      </c>
      <c r="D4" s="2">
        <f>Calculator!B8</f>
      </c>
      <c r="E4" s="2">
        <f>C4*Inputs!B14+Inputs!B15</f>
      </c>
      <c r="F4" s="2">
        <f>D4*Calculator!B4</f>
      </c>
      <c r="G4" s="2">
        <f>C4-E4-F4</f>
      </c>
      <c r="H4" s="2">
        <f>IF(C4=0,"",G4/C4)</f>
      </c>
      <c r="I4" t="inlineStr">
        <is>
          <t>Only with enforceable hard cap</t>
        </is>
      </c>
    </row>
    <row r="5">
      <c r="A5" t="inlineStr">
        <is>
          <t>Pro</t>
        </is>
      </c>
      <c r="B5" t="inlineStr">
        <is>
          <t>Active shoppers</t>
        </is>
      </c>
      <c r="C5"/>
      <c r="D5"/>
      <c r="E5" s="2">
        <f>C5*Inputs!B14+Inputs!B15</f>
      </c>
      <c r="F5" s="2">
        <f>D5*Calculator!B4</f>
      </c>
      <c r="G5" s="2">
        <f>C5-E5-F5</f>
      </c>
      <c r="H5" s="2">
        <f>IF(C5=0,"",G5/C5)</f>
      </c>
      <c r="I5" t="inlineStr">
        <is>
          <t>Not below COGS</t>
        </is>
      </c>
    </row>
    <row r="6">
      <c r="A6" t="inlineStr">
        <is>
          <t>Master</t>
        </is>
      </c>
      <c r="B6" t="inlineStr">
        <is>
          <t>Later</t>
        </is>
      </c>
      <c r="C6"/>
      <c r="D6"/>
      <c r="E6" s="2">
        <f>C6*Inputs!B14+Inputs!B15</f>
      </c>
      <c r="F6" s="2">
        <f>D6*Calculator!B4</f>
      </c>
      <c r="G6" s="2">
        <f>C6-E6-F6</f>
      </c>
      <c r="H6" s="2">
        <f>IF(C6=0,"",G6/C6)</f>
      </c>
      <c r="I6" t="inlineStr">
        <is>
          <t>Add after factual data</t>
        </is>
      </c>
    </row>
  </sheetData>
  <autoFilter ref="A1:I6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46" customWidth="1"/>
    <col min="3" max="3" width="27" customWidth="1"/>
    <col min="4" max="4" width="19" customWidth="1"/>
    <col min="5" max="5" width="46" customWidth="1"/>
    <col min="6" max="6" width="14" customWidth="1"/>
    <col min="7" max="7" width="32" customWidth="1"/>
  </cols>
  <sheetData>
    <row r="1">
      <c r="A1" s="1" t="inlineStr">
        <is>
          <t>Pipeline</t>
        </is>
      </c>
      <c r="B1" s="1" t="inlineStr">
        <is>
          <t>Components</t>
        </is>
      </c>
      <c r="C1" s="1" t="inlineStr">
        <is>
          <t>Provider cost formula USD</t>
        </is>
      </c>
      <c r="D1" s="1" t="inlineStr">
        <is>
          <t>Provider cost USD</t>
        </is>
      </c>
      <c r="E1" s="1" t="inlineStr">
        <is>
          <t>Credit spend formula</t>
        </is>
      </c>
      <c r="F1" s="1" t="inlineStr">
        <is>
          <t>Credit spend</t>
        </is>
      </c>
      <c r="G1" s="1" t="inlineStr">
        <is>
          <t>Use case</t>
        </is>
      </c>
    </row>
    <row r="2">
      <c r="A2" t="inlineStr">
        <is>
          <t>Fast preview</t>
        </is>
      </c>
      <c r="B2" t="inlineStr">
        <is>
          <t>reve_remix_fast</t>
        </is>
      </c>
      <c r="C2" s="2">
        <f>Reve11!D3</f>
      </c>
      <c r="D2" s="2">
        <f>C2</f>
      </c>
      <c r="E2" s="2">
        <f>ROUNDUP(D2*Inputs!B2/MAX(Inputs!B22,0.01),0)</f>
      </c>
      <c r="F2" s="2">
        <f>E2</f>
      </c>
      <c r="G2" t="inlineStr">
        <is>
          <t>fast catalog preview</t>
        </is>
      </c>
    </row>
    <row r="3">
      <c r="A3" t="inlineStr">
        <is>
          <t>Standard fit</t>
        </is>
      </c>
      <c r="B3" t="inlineStr">
        <is>
          <t>reve_remix</t>
        </is>
      </c>
      <c r="C3" s="2">
        <f>Reve11!D4</f>
      </c>
      <c r="D3" s="2">
        <f>C3</f>
      </c>
      <c r="E3" s="2">
        <f>ROUNDUP(D3*Inputs!B2/MAX(Inputs!B22,0.01),0)</f>
      </c>
      <c r="F3" s="2">
        <f>E3</f>
      </c>
      <c r="G3" t="inlineStr">
        <is>
          <t>default B2B2C quality</t>
        </is>
      </c>
    </row>
    <row r="4">
      <c r="A4" t="inlineStr">
        <is>
          <t>Masked fit</t>
        </is>
      </c>
      <c r="B4" t="inlineStr">
        <is>
          <t>mask step + reve_remix</t>
        </is>
      </c>
      <c r="C4" s="2">
        <f>Reve11!D4+Reve11!D5</f>
      </c>
      <c r="D4" s="2">
        <f>C4</f>
      </c>
      <c r="E4" s="2">
        <f>ROUNDUP(D4*Inputs!B2/MAX(Inputs!B22,0.01),0)</f>
      </c>
      <c r="F4" s="2">
        <f>E4</f>
      </c>
      <c r="G4" t="inlineStr">
        <is>
          <t>better body/wheel preservation</t>
        </is>
      </c>
    </row>
    <row r="5">
      <c r="A5" t="inlineStr">
        <is>
          <t>Vehicle-aware</t>
        </is>
      </c>
      <c r="B5" t="inlineStr">
        <is>
          <t>vehicle detection + pipeline rules + reve_remix</t>
        </is>
      </c>
      <c r="C5" s="2">
        <f>Reve11!D4+0</f>
      </c>
      <c r="D5" s="2">
        <f>C5</f>
      </c>
      <c r="E5" s="2">
        <f>ROUNDUP(D5*Inputs!B2/MAX(Inputs!B22,0.01),0)</f>
      </c>
      <c r="F5" s="2">
        <f>E5</f>
      </c>
      <c r="G5" t="inlineStr">
        <is>
          <t>fitment-aware storefront</t>
        </is>
      </c>
    </row>
    <row r="6">
      <c r="A6" t="inlineStr">
        <is>
          <t>Premium fallback</t>
        </is>
      </c>
      <c r="B6" t="inlineStr">
        <is>
          <t>OpenAI/other provider</t>
        </is>
      </c>
      <c r="C6" s="2">
        <f>Inputs!B9</f>
      </c>
      <c r="D6" s="2">
        <f>C6</f>
      </c>
      <c r="E6" s="2">
        <f>ROUNDUP(D6*Inputs!B2/MAX(Inputs!B22,0.01),0)</f>
      </c>
      <c r="F6" s="2">
        <f>E6</f>
      </c>
      <c r="G6" t="inlineStr">
        <is>
          <t>manual retry/high-value lead</t>
        </is>
      </c>
    </row>
  </sheetData>
  <autoFilter ref="A1:G6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0" customWidth="1"/>
    <col min="4" max="4" width="19" customWidth="1"/>
    <col min="5" max="5" width="12" customWidth="1"/>
    <col min="6" max="6" width="22" customWidth="1"/>
    <col min="7" max="7" width="20" customWidth="1"/>
    <col min="8" max="8" width="46" customWidth="1"/>
  </cols>
  <sheetData>
    <row r="1">
      <c r="A1" s="1" t="inlineStr">
        <is>
          <t>Month</t>
        </is>
      </c>
      <c r="B1" s="1" t="inlineStr">
        <is>
          <t>Attempts</t>
        </is>
      </c>
      <c r="C1" s="1" t="inlineStr">
        <is>
          <t>Successful renders</t>
        </is>
      </c>
      <c r="D1" s="1" t="inlineStr">
        <is>
          <t>Provider cost USD</t>
        </is>
      </c>
      <c r="E1" s="1" t="inlineStr">
        <is>
          <t>USD/RUB</t>
        </is>
      </c>
      <c r="F1" s="1" t="inlineStr">
        <is>
          <t>Avg cost attempt USD</t>
        </is>
      </c>
      <c r="G1" s="1" t="inlineStr">
        <is>
          <t>Attempts/success</t>
        </is>
      </c>
      <c r="H1" s="1" t="inlineStr">
        <is>
          <t>Avg COGS success RUB</t>
        </is>
      </c>
    </row>
    <row r="2">
      <c r="A2" t="inlineStr">
        <is>
          <t>2026-06</t>
        </is>
      </c>
      <c r="B2"/>
      <c r="C2"/>
      <c r="D2"/>
      <c r="E2" s="2">
        <f>Inputs!B2</f>
      </c>
      <c r="F2" s="2">
        <f>IF(B2=0,"",D2/B2)</f>
      </c>
      <c r="G2" s="2">
        <f>IF(C2=0,"",B2/C2)</f>
      </c>
      <c r="H2" s="2">
        <f>IF(OR(F2="",G2=""),"",F2*G2*E2+Calculator!B3+Inputs!B18)</f>
      </c>
    </row>
  </sheetData>
  <autoFilter ref="A1:H2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9" customWidth="1"/>
    <col min="2" max="2" width="40" customWidth="1"/>
    <col min="3" max="3" width="33" customWidth="1"/>
    <col min="4" max="4" width="18" customWidth="1"/>
    <col min="5" max="5" width="14" customWidth="1"/>
  </cols>
  <sheetData>
    <row r="1">
      <c r="A1" s="1" t="inlineStr">
        <is>
          <t>Данные</t>
        </is>
      </c>
      <c r="B1" s="1" t="inlineStr">
        <is>
          <t>Как получить</t>
        </is>
      </c>
      <c r="C1" s="1" t="inlineStr">
        <is>
          <t>Где хранить/событие</t>
        </is>
      </c>
      <c r="D1" s="1" t="inlineStr">
        <is>
          <t>Owner</t>
        </is>
      </c>
      <c r="E1" s="1" t="inlineStr">
        <is>
          <t>Status</t>
        </is>
      </c>
    </row>
    <row r="2">
      <c r="A2" t="inlineStr">
        <is>
          <t>Фактическая цена Reve attempt</t>
        </is>
      </c>
      <c r="B2" t="inlineStr">
        <is>
          <t>credits_used * reve_credit_usd</t>
        </is>
      </c>
      <c r="C2" t="inlineStr">
        <is>
          <t>jobs.provider_cost_usd</t>
        </is>
      </c>
      <c r="D2" t="inlineStr">
        <is>
          <t>Backend</t>
        </is>
      </c>
      <c r="E2" t="inlineStr">
        <is>
          <t>Ready to log</t>
        </is>
      </c>
    </row>
    <row r="3">
      <c r="A3" t="inlineStr">
        <is>
          <t>Pipeline mix</t>
        </is>
      </c>
      <c r="B3" t="inlineStr">
        <is>
          <t>count by pipeline_key</t>
        </is>
      </c>
      <c r="C3" t="inlineStr">
        <is>
          <t>jobs.pipeline_key</t>
        </is>
      </c>
      <c r="D3" t="inlineStr">
        <is>
          <t>Backend/Admin</t>
        </is>
      </c>
      <c r="E3" t="inlineStr">
        <is>
          <t>TBD</t>
        </is>
      </c>
    </row>
    <row r="4">
      <c r="A4" t="inlineStr">
        <is>
          <t>Среднее attempts_per_success</t>
        </is>
      </c>
      <c r="B4" t="inlineStr">
        <is>
          <t>30-50 реальных пар фото</t>
        </is>
      </c>
      <c r="C4" t="inlineStr">
        <is>
          <t>jobs.attempts_count</t>
        </is>
      </c>
      <c r="D4" t="inlineStr">
        <is>
          <t>ML/Product</t>
        </is>
      </c>
      <c r="E4" t="inlineStr">
        <is>
          <t>TBD</t>
        </is>
      </c>
    </row>
    <row r="5">
      <c r="A5" t="inlineStr">
        <is>
          <t>Failure rate</t>
        </is>
      </c>
      <c r="B5" t="inlineStr">
        <is>
          <t>failed / total_jobs</t>
        </is>
      </c>
      <c r="C5" t="inlineStr">
        <is>
          <t>job_failed / job_created</t>
        </is>
      </c>
      <c r="D5" t="inlineStr">
        <is>
          <t>Backend</t>
        </is>
      </c>
      <c r="E5" t="inlineStr">
        <is>
          <t>TBD</t>
        </is>
      </c>
    </row>
    <row r="6">
      <c r="A6" t="inlineStr">
        <is>
          <t>Среднее время генерации</t>
        </is>
      </c>
      <c r="B6" t="inlineStr">
        <is>
          <t>queued/processing/completed timestamps</t>
        </is>
      </c>
      <c r="C6" t="inlineStr">
        <is>
          <t>jobs timestamps</t>
        </is>
      </c>
      <c r="D6" t="inlineStr">
        <is>
          <t>Backend</t>
        </is>
      </c>
      <c r="E6" t="inlineStr">
        <is>
          <t>TBD</t>
        </is>
      </c>
    </row>
    <row r="7">
      <c r="A7" t="inlineStr">
        <is>
          <t>Комиссия Robokassa</t>
        </is>
      </c>
      <c r="B7" t="inlineStr">
        <is>
          <t>Договор/кабинет Robokassa</t>
        </is>
      </c>
      <c r="C7" t="inlineStr">
        <is>
          <t>payment config</t>
        </is>
      </c>
      <c r="D7" t="inlineStr">
        <is>
          <t>Founder</t>
        </is>
      </c>
      <c r="E7" t="inlineStr">
        <is>
          <t>TBD</t>
        </is>
      </c>
    </row>
    <row r="8">
      <c r="A8" t="inlineStr">
        <is>
          <t>Free trial conversion</t>
        </is>
      </c>
      <c r="B8" t="inlineStr">
        <is>
          <t>После первой недели запуска</t>
        </is>
      </c>
      <c r="C8" t="inlineStr">
        <is>
          <t>trial_used -&gt; payment_paid</t>
        </is>
      </c>
      <c r="D8" t="inlineStr">
        <is>
          <t>Product</t>
        </is>
      </c>
      <c r="E8" t="inlineStr">
        <is>
          <t>TBD</t>
        </is>
      </c>
    </row>
    <row r="9">
      <c r="A9" t="inlineStr">
        <is>
          <t>Конверсия upload -&gt; successful render</t>
        </is>
      </c>
      <c r="B9" t="inlineStr">
        <is>
          <t>Аналитика Mini App</t>
        </is>
      </c>
      <c r="C9" t="inlineStr">
        <is>
          <t>job_completed / upload_started</t>
        </is>
      </c>
      <c r="D9" t="inlineStr">
        <is>
          <t>Frontend/Backend</t>
        </is>
      </c>
      <c r="E9" t="inlineStr">
        <is>
          <t>TBD</t>
        </is>
      </c>
    </row>
    <row r="10">
      <c r="A10" t="inlineStr">
        <is>
          <t>Конверсия result -&gt; checkout</t>
        </is>
      </c>
      <c r="B10" t="inlineStr">
        <is>
          <t>Аналитика Mini App</t>
        </is>
      </c>
      <c r="C10" t="inlineStr">
        <is>
          <t>checkout_opened / result_viewed</t>
        </is>
      </c>
      <c r="D10" t="inlineStr">
        <is>
          <t>Frontend</t>
        </is>
      </c>
      <c r="E10" t="inlineStr">
        <is>
          <t>TBD</t>
        </is>
      </c>
    </row>
    <row r="11">
      <c r="A11" t="inlineStr">
        <is>
          <t>Конверсия checkout -&gt; paid</t>
        </is>
      </c>
      <c r="B11" t="inlineStr">
        <is>
          <t>Backend payment events</t>
        </is>
      </c>
      <c r="C11" t="inlineStr">
        <is>
          <t>payment_paid / checkout_opened</t>
        </is>
      </c>
      <c r="D11" t="inlineStr">
        <is>
          <t>Backend</t>
        </is>
      </c>
      <c r="E11" t="inlineStr">
        <is>
          <t>TBD</t>
        </is>
      </c>
    </row>
  </sheetData>
  <autoFilter ref="A1:E11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9" customWidth="1"/>
    <col min="2" max="2" width="46" customWidth="1"/>
    <col min="3" max="3" width="35" customWidth="1"/>
  </cols>
  <sheetData>
    <row r="1">
      <c r="A1" s="1" t="inlineStr">
        <is>
          <t>Зона Admin Panel</t>
        </is>
      </c>
      <c r="B1" s="1" t="inlineStr">
        <is>
          <t>Что добавить</t>
        </is>
      </c>
      <c r="C1" s="1" t="inlineStr">
        <is>
          <t>Зачем</t>
        </is>
      </c>
    </row>
    <row r="2">
      <c r="A2" t="inlineStr">
        <is>
          <t>Dashboard</t>
        </is>
      </c>
      <c r="B2" t="inlineStr">
        <is>
          <t>Revenue, paid preorders, active credits, trial usage, COGS estimate</t>
        </is>
      </c>
      <c r="C2" t="inlineStr">
        <is>
          <t>Контроль июньского плана</t>
        </is>
      </c>
    </row>
    <row r="3">
      <c r="A3" t="inlineStr">
        <is>
          <t>Pipeline mix</t>
        </is>
      </c>
      <c r="B3" t="inlineStr">
        <is>
          <t>fast/standard/fallback share</t>
        </is>
      </c>
      <c r="C3" t="inlineStr">
        <is>
          <t>Динамический B2C average</t>
        </is>
      </c>
    </row>
    <row r="4">
      <c r="A4" t="inlineStr">
        <is>
          <t>Provider costs</t>
        </is>
      </c>
      <c r="B4" t="inlineStr">
        <is>
          <t>provider_cost_usd, attempts_count</t>
        </is>
      </c>
      <c r="C4" t="inlineStr">
        <is>
          <t>Фактический cost_per_success</t>
        </is>
      </c>
    </row>
    <row r="5">
      <c r="A5" t="inlineStr">
        <is>
          <t>Monthly snapshots</t>
        </is>
      </c>
      <c r="B5" t="inlineStr">
        <is>
          <t>monthly_unit_economics_snapshots</t>
        </is>
      </c>
      <c r="C5" t="inlineStr">
        <is>
          <t>Обновление цен раз в месяц</t>
        </is>
      </c>
    </row>
    <row r="6">
      <c r="A6" t="inlineStr">
        <is>
          <t>Credits</t>
        </is>
      </c>
      <c r="B6" t="inlineStr">
        <is>
          <t>user balance + credit ledger</t>
        </is>
      </c>
      <c r="C6" t="inlineStr">
        <is>
          <t>Аудит начислений/списаний/refunds</t>
        </is>
      </c>
    </row>
    <row r="7">
      <c r="A7" t="inlineStr">
        <is>
          <t>Jobs</t>
        </is>
      </c>
      <c r="B7" t="inlineStr">
        <is>
          <t>status, failure_reason, attempts_count, cost_estimate, credit_event_id</t>
        </is>
      </c>
      <c r="C7" t="inlineStr">
        <is>
          <t>Контроль качества и себестоимости</t>
        </is>
      </c>
    </row>
    <row r="8">
      <c r="A8" t="inlineStr">
        <is>
          <t>Refunds</t>
        </is>
      </c>
      <c r="B8" t="inlineStr">
        <is>
          <t>manual refund/correction queue</t>
        </is>
      </c>
      <c r="C8" t="inlineStr">
        <is>
          <t>Спорные случаи и поддержка</t>
        </is>
      </c>
    </row>
    <row r="9">
      <c r="A9" t="inlineStr">
        <is>
          <t>Receipts</t>
        </is>
      </c>
      <c r="B9" t="inlineStr">
        <is>
          <t>tax_receipt_status, receipt_url/manual note</t>
        </is>
      </c>
      <c r="C9" t="inlineStr">
        <is>
          <t>Не забыть чек</t>
        </is>
      </c>
    </row>
  </sheetData>
  <autoFilter ref="A1:C9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0" customWidth="1"/>
    <col min="2" max="2" width="42" customWidth="1"/>
    <col min="3" max="3" width="25" customWidth="1"/>
    <col min="4" max="4" width="39" customWidth="1"/>
  </cols>
  <sheetData>
    <row r="1">
      <c r="A1" s="1" t="inlineStr">
        <is>
          <t>Событие</t>
        </is>
      </c>
      <c r="B1" s="1" t="inlineStr">
        <is>
          <t>Credit action</t>
        </is>
      </c>
      <c r="C1" s="1" t="inlineStr">
        <is>
          <t>Money action</t>
        </is>
      </c>
      <c r="D1" s="1" t="inlineStr">
        <is>
          <t>Техническое условие</t>
        </is>
      </c>
    </row>
    <row r="2">
      <c r="A2" t="inlineStr">
        <is>
          <t>Job created</t>
        </is>
      </c>
      <c r="B2" t="inlineStr">
        <is>
          <t>Reserve 1 credit</t>
        </is>
      </c>
      <c r="C2" t="inlineStr">
        <is>
          <t>None</t>
        </is>
      </c>
      <c r="D2" t="inlineStr">
        <is>
          <t>DB transaction + idempotency key</t>
        </is>
      </c>
    </row>
    <row r="3">
      <c r="A3" t="inlineStr">
        <is>
          <t>Job completed</t>
        </is>
      </c>
      <c r="B3" t="inlineStr">
        <is>
          <t>Finalize reserved credit</t>
        </is>
      </c>
      <c r="C3" t="inlineStr">
        <is>
          <t>None</t>
        </is>
      </c>
      <c r="D3" t="inlineStr">
        <is>
          <t>Only from processing/reserved state</t>
        </is>
      </c>
    </row>
    <row r="4">
      <c r="A4" t="inlineStr">
        <is>
          <t>Technical failure</t>
        </is>
      </c>
      <c r="B4" t="inlineStr">
        <is>
          <t>Refund reserved credit automatically</t>
        </is>
      </c>
      <c r="C4" t="inlineStr">
        <is>
          <t>None by default</t>
        </is>
      </c>
      <c r="D4" t="inlineStr">
        <is>
          <t>Failure reason in technical whitelist</t>
        </is>
      </c>
    </row>
    <row r="5">
      <c r="A5" t="inlineStr">
        <is>
          <t>Paid but unused package refund request</t>
        </is>
      </c>
      <c r="B5" t="inlineStr">
        <is>
          <t>Reverse unused credits/manual adjustment</t>
        </is>
      </c>
      <c r="C5" t="inlineStr">
        <is>
          <t>Robokassa/manual refund</t>
        </is>
      </c>
      <c r="D5" t="inlineStr">
        <is>
          <t>Support/admin review</t>
        </is>
      </c>
    </row>
    <row r="6">
      <c r="A6" t="inlineStr">
        <is>
          <t>Bad subjective result</t>
        </is>
      </c>
      <c r="B6" t="inlineStr">
        <is>
          <t>No automatic refund</t>
        </is>
      </c>
      <c r="C6" t="inlineStr">
        <is>
          <t>Manual review only</t>
        </is>
      </c>
      <c r="D6" t="inlineStr">
        <is>
          <t>Quality complaint flag</t>
        </is>
      </c>
    </row>
  </sheetData>
  <autoFilter ref="A1: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Dream Wheels AI June Unit Economics Model</dc:title>
  <dc:creator>Codex</dc:creator>
  <cp:lastModifiedBy>Codex</cp:lastModifiedBy>
  <dcterms:created xsi:type="dcterms:W3CDTF">2026-06-08T19:49:26Z</dcterms:created>
  <dcterms:modified xsi:type="dcterms:W3CDTF">2026-06-08T19:49:26Z</dcterms:modified>
</cp:coreProperties>
</file>